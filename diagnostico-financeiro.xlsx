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iagnóstico" sheetId="1" state="visible" r:id="rId3"/>
    <sheet name="🏥 Score de Saúde" sheetId="2" state="visible" r:id="rId4"/>
    <sheet name="🎯 Plano de Acção" sheetId="3" state="visible" r:id="rId5"/>
    <sheet name="📈 Evolução Mens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<sst xmlns="http://schemas.openxmlformats.org/spreadsheetml/2006/main" count="256" uniqueCount="188">
  <si>
    <t xml:space="preserve">DIAGNÓSTICO FINANCEIRO PESSOAL — Calculadora da Virada</t>
  </si>
  <si>
    <t xml:space="preserve">Preenche as células a AZUL. As restantes calculam-se automaticamente.</t>
  </si>
  <si>
    <t xml:space="preserve">A. INFORMAÇÃO BASE</t>
  </si>
  <si>
    <t xml:space="preserve">Nome / Identificação</t>
  </si>
  <si>
    <t xml:space="preserve">Mês de referência</t>
  </si>
  <si>
    <t xml:space="preserve">Salário / Renda mensal (€/$)</t>
  </si>
  <si>
    <t xml:space="preserve">Outras rendas mensais (alugueres, freelance…)</t>
  </si>
  <si>
    <t xml:space="preserve">Renda total mensal</t>
  </si>
  <si>
    <t xml:space="preserve">B. ACTIVOS (o que possuis)</t>
  </si>
  <si>
    <t xml:space="preserve">Descrição</t>
  </si>
  <si>
    <t xml:space="preserve">Tipo</t>
  </si>
  <si>
    <t xml:space="preserve">Valor actual (€/$)</t>
  </si>
  <si>
    <t xml:space="preserve">Rendimento anual (€/$)</t>
  </si>
  <si>
    <t xml:space="preserve">Rendimento (%)</t>
  </si>
  <si>
    <t xml:space="preserve">Liquidez</t>
  </si>
  <si>
    <t xml:space="preserve">Notas</t>
  </si>
  <si>
    <t xml:space="preserve">Conta corrente / Carteira</t>
  </si>
  <si>
    <t xml:space="preserve">Imediata</t>
  </si>
  <si>
    <t xml:space="preserve">Poupança / Fundo emergência</t>
  </si>
  <si>
    <t xml:space="preserve">Investimentos (ETFs/Fundos)</t>
  </si>
  <si>
    <t xml:space="preserve">Investimento</t>
  </si>
  <si>
    <t xml:space="preserve">Dias</t>
  </si>
  <si>
    <t xml:space="preserve">Imóveis / Casa própria</t>
  </si>
  <si>
    <t xml:space="preserve">Real Estate</t>
  </si>
  <si>
    <t xml:space="preserve">Meses</t>
  </si>
  <si>
    <t xml:space="preserve">Veículo(s)</t>
  </si>
  <si>
    <t xml:space="preserve">Depreciação</t>
  </si>
  <si>
    <t xml:space="preserve">Negócio próprio</t>
  </si>
  <si>
    <t xml:space="preserve">Empreendedor</t>
  </si>
  <si>
    <t xml:space="preserve">Variável</t>
  </si>
  <si>
    <t xml:space="preserve">Outros activos</t>
  </si>
  <si>
    <t xml:space="preserve">Outro</t>
  </si>
  <si>
    <t xml:space="preserve">TOTAL ACTIVOS</t>
  </si>
  <si>
    <t xml:space="preserve">C. PASSIVOS / DÍVIDAS (o que deves)</t>
  </si>
  <si>
    <t xml:space="preserve">Credor / Descrição</t>
  </si>
  <si>
    <t xml:space="preserve">Saldo em dívida (€/$)</t>
  </si>
  <si>
    <t xml:space="preserve">Prestação mensal (€/$)</t>
  </si>
  <si>
    <t xml:space="preserve">Taxa juro anual (%)</t>
  </si>
  <si>
    <t xml:space="preserve">Meses restantes</t>
  </si>
  <si>
    <t xml:space="preserve">Prioridade pagamento</t>
  </si>
  <si>
    <t xml:space="preserve">Renda / Hipoteca</t>
  </si>
  <si>
    <t xml:space="preserve">Habitação</t>
  </si>
  <si>
    <t xml:space="preserve">Cartão de crédito</t>
  </si>
  <si>
    <t xml:space="preserve">Crédito rotativo</t>
  </si>
  <si>
    <t xml:space="preserve">Crédito automóvel</t>
  </si>
  <si>
    <t xml:space="preserve">Automóvel</t>
  </si>
  <si>
    <t xml:space="preserve">Empréstimo pessoal</t>
  </si>
  <si>
    <t xml:space="preserve">Pessoal</t>
  </si>
  <si>
    <t xml:space="preserve">Parcelados / BNPL</t>
  </si>
  <si>
    <t xml:space="preserve">Parcelado</t>
  </si>
  <si>
    <t xml:space="preserve">Outras dívidas</t>
  </si>
  <si>
    <t xml:space="preserve">TOTAL PASSIVOS</t>
  </si>
  <si>
    <t xml:space="preserve">D. BALANÇO PATRIMONIAL</t>
  </si>
  <si>
    <t xml:space="preserve">Total Activos</t>
  </si>
  <si>
    <t xml:space="preserve">Total Passivos</t>
  </si>
  <si>
    <t xml:space="preserve">PATRIMÔNIO LÍQUIDO</t>
  </si>
  <si>
    <t xml:space="preserve">Rácio Activos/Passivos</t>
  </si>
  <si>
    <t xml:space="preserve">E. DESPESAS MENSAIS DETALHADAS</t>
  </si>
  <si>
    <t xml:space="preserve">Categoria</t>
  </si>
  <si>
    <t xml:space="preserve">Valor mensal (€/$)</t>
  </si>
  <si>
    <t xml:space="preserve">% do salário</t>
  </si>
  <si>
    <t xml:space="preserve">Essencial?</t>
  </si>
  <si>
    <t xml:space="preserve">🏠 Habitação</t>
  </si>
  <si>
    <t xml:space="preserve">Fixo</t>
  </si>
  <si>
    <t xml:space="preserve">Sim</t>
  </si>
  <si>
    <t xml:space="preserve">💡 Serviços</t>
  </si>
  <si>
    <t xml:space="preserve">Electricidade / Água / Gas</t>
  </si>
  <si>
    <t xml:space="preserve">📱 Comunicações</t>
  </si>
  <si>
    <t xml:space="preserve">Internet / Telemóvel</t>
  </si>
  <si>
    <t xml:space="preserve">🛒 Alimentação</t>
  </si>
  <si>
    <t xml:space="preserve">Supermercado</t>
  </si>
  <si>
    <t xml:space="preserve">🚗 Transporte</t>
  </si>
  <si>
    <t xml:space="preserve">Combustível / Transportes</t>
  </si>
  <si>
    <t xml:space="preserve">💊 Saúde</t>
  </si>
  <si>
    <t xml:space="preserve">Seguros / Consultas</t>
  </si>
  <si>
    <t xml:space="preserve">☕ Lazer</t>
  </si>
  <si>
    <t xml:space="preserve">Restaurantes / Saídas</t>
  </si>
  <si>
    <t xml:space="preserve">Não</t>
  </si>
  <si>
    <t xml:space="preserve">📦 Assinaturas</t>
  </si>
  <si>
    <t xml:space="preserve">Netflix / Spotify / etc</t>
  </si>
  <si>
    <t xml:space="preserve">💳 Parcelados</t>
  </si>
  <si>
    <t xml:space="preserve">Prestações / BNPL</t>
  </si>
  <si>
    <t xml:space="preserve">📚 Educação</t>
  </si>
  <si>
    <t xml:space="preserve">Cursos / Livros</t>
  </si>
  <si>
    <t xml:space="preserve">🎯 Investimentos</t>
  </si>
  <si>
    <t xml:space="preserve">ETFs / Poupança</t>
  </si>
  <si>
    <t xml:space="preserve">Outras despesas</t>
  </si>
  <si>
    <t xml:space="preserve">TOTAL DESPESAS</t>
  </si>
  <si>
    <t xml:space="preserve">🔵 Azul = Insere o teu valor   |   ⚫ Preto = Calculado automaticamente   |   🟡 Amarelo = Célula importante</t>
  </si>
  <si>
    <t xml:space="preserve">SCORE DE SAÚDE FINANCEIRA</t>
  </si>
  <si>
    <t xml:space="preserve">INDICADORES DE SAÚDE FINANCEIRA</t>
  </si>
  <si>
    <t xml:space="preserve">Indicador</t>
  </si>
  <si>
    <t xml:space="preserve">Fórmula / Fonte</t>
  </si>
  <si>
    <t xml:space="preserve">O teu resultado</t>
  </si>
  <si>
    <t xml:space="preserve">Pontuação (0-10)</t>
  </si>
  <si>
    <t xml:space="preserve">Semáforo</t>
  </si>
  <si>
    <t xml:space="preserve">Referência ideal</t>
  </si>
  <si>
    <t xml:space="preserve">Taxa de poupança mensal</t>
  </si>
  <si>
    <t xml:space="preserve">Renda - Despesas / Renda</t>
  </si>
  <si>
    <t xml:space="preserve">&gt;20%</t>
  </si>
  <si>
    <t xml:space="preserve">Rácio dívida/renda</t>
  </si>
  <si>
    <t xml:space="preserve">Prestações mensais / Renda</t>
  </si>
  <si>
    <t xml:space="preserve">&lt;20%</t>
  </si>
  <si>
    <t xml:space="preserve">Reserva de emergência (meses)</t>
  </si>
  <si>
    <t xml:space="preserve">Activos líquidos / Despesas mensais</t>
  </si>
  <si>
    <t xml:space="preserve">≥ 6 meses</t>
  </si>
  <si>
    <t xml:space="preserve">Índice de liquidez</t>
  </si>
  <si>
    <t xml:space="preserve">Activos correntes / Passivos correntes</t>
  </si>
  <si>
    <t xml:space="preserve">&gt; 2.0</t>
  </si>
  <si>
    <t xml:space="preserve">% investido do salário</t>
  </si>
  <si>
    <t xml:space="preserve">Investimentos / Renda mensal</t>
  </si>
  <si>
    <t xml:space="preserve">≥ 20%</t>
  </si>
  <si>
    <t xml:space="preserve">Peso habitação no orçamento</t>
  </si>
  <si>
    <t xml:space="preserve">Custo habitação / Renda</t>
  </si>
  <si>
    <t xml:space="preserve">≤ 30%</t>
  </si>
  <si>
    <t xml:space="preserve">SCORE TOTAL (0 – 100)</t>
  </si>
  <si>
    <t xml:space="preserve">COMO INTERPRETAR O TEU SCORE</t>
  </si>
  <si>
    <t xml:space="preserve">80 – 100</t>
  </si>
  <si>
    <t xml:space="preserve">🏆 Excelente</t>
  </si>
  <si>
    <t xml:space="preserve">Finanças saudáveis. Mantém o rumo e optimiza investimentos.</t>
  </si>
  <si>
    <t xml:space="preserve">60 – 79</t>
  </si>
  <si>
    <t xml:space="preserve">🟢 Bom</t>
  </si>
  <si>
    <t xml:space="preserve">Boa base. Foca em aumentar poupança e reduzir dívidas de alto juro.</t>
  </si>
  <si>
    <t xml:space="preserve">40 – 59</t>
  </si>
  <si>
    <t xml:space="preserve">🟡 Regular</t>
  </si>
  <si>
    <t xml:space="preserve">Algumas áreas precisam atenção. Usa a Calculadora da Virada para criar um plano.</t>
  </si>
  <si>
    <t xml:space="preserve">20 – 39</t>
  </si>
  <si>
    <t xml:space="preserve">🟠 Atenção</t>
  </si>
  <si>
    <t xml:space="preserve">Situação vulnerável. Prioriza reserva de emergência e pagamento de dívidas.</t>
  </si>
  <si>
    <t xml:space="preserve">0 – 19</t>
  </si>
  <si>
    <t xml:space="preserve">🔴 Crítico</t>
  </si>
  <si>
    <t xml:space="preserve">Acção urgente necessária. Reorganiza o orçamento com ajuda do método 50/30/20.</t>
  </si>
  <si>
    <t xml:space="preserve">PLANO DE ACÇÃO FINANCEIRO — 90 DIAS</t>
  </si>
  <si>
    <t xml:space="preserve">🚨 ACÇÕES IMEDIATAS (Esta semana)</t>
  </si>
  <si>
    <t xml:space="preserve">Acção</t>
  </si>
  <si>
    <t xml:space="preserve">Descrição adicional</t>
  </si>
  <si>
    <t xml:space="preserve">Prazo</t>
  </si>
  <si>
    <t xml:space="preserve">Prioridade</t>
  </si>
  <si>
    <t xml:space="preserve">Estado</t>
  </si>
  <si>
    <t xml:space="preserve">Data conclusão</t>
  </si>
  <si>
    <t xml:space="preserve">Preencher toda a planilha de diagnóstico</t>
  </si>
  <si>
    <t xml:space="preserve">Até domingo</t>
  </si>
  <si>
    <t xml:space="preserve">Alta</t>
  </si>
  <si>
    <t xml:space="preserve">⬜</t>
  </si>
  <si>
    <t xml:space="preserve">Criar conta / instalar Calculadora da Virada</t>
  </si>
  <si>
    <t xml:space="preserve">Até hoje</t>
  </si>
  <si>
    <t xml:space="preserve">Identificar 3 despesas que podes eliminar</t>
  </si>
  <si>
    <t xml:space="preserve">Esta semana</t>
  </si>
  <si>
    <t xml:space="preserve">Criar fundo de emergência separado</t>
  </si>
  <si>
    <t xml:space="preserve">Este mês</t>
  </si>
  <si>
    <t xml:space="preserve">📅 ACÇÕES A 30 DIAS</t>
  </si>
  <si>
    <t xml:space="preserve">Usar a app para registar todas as despesas do mês</t>
  </si>
  <si>
    <t xml:space="preserve">Próximos 30 dias</t>
  </si>
  <si>
    <t xml:space="preserve">Negociar 1 conta fixa (internet, seguro, etc.)</t>
  </si>
  <si>
    <t xml:space="preserve">2 semanas</t>
  </si>
  <si>
    <t xml:space="preserve">Média</t>
  </si>
  <si>
    <t xml:space="preserve">Abrir conta de investimento (se não tiveres)</t>
  </si>
  <si>
    <t xml:space="preserve">Definir 2 sonhos na aba Sonhos da app</t>
  </si>
  <si>
    <t xml:space="preserve">🚀 ACÇÕES A 90 DIAS</t>
  </si>
  <si>
    <t xml:space="preserve">Chegar a 3 meses de reserva de emergência</t>
  </si>
  <si>
    <t xml:space="preserve">90 dias</t>
  </si>
  <si>
    <t xml:space="preserve">Aumentar taxa de poupança para ≥ 10%</t>
  </si>
  <si>
    <t xml:space="preserve">Investir consistentemente todos os meses</t>
  </si>
  <si>
    <t xml:space="preserve">Rever este diagnóstico e refazer o score</t>
  </si>
  <si>
    <t xml:space="preserve">Daqui a 90 dias</t>
  </si>
  <si>
    <t xml:space="preserve">EVOLUÇÃO MENSAL DO PATRIMÔNIO</t>
  </si>
  <si>
    <t xml:space="preserve">Métrica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</si>
  <si>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</si>
  <si>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</si>
  <si>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</si>
  <si>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</si>
  <si>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</si>
  <si>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</si>
  <si>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</si>
  <si>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</si>
  <si>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</si>
  <si>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</si>
  <si>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</si>
  <si>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</si>
  <si>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Renda total</t>
  </si>
  <si>
    <t xml:space="preserve">Total despesas</t>
  </si>
  <si>
    <t xml:space="preserve">Poupança do mês</t>
  </si>
  <si>
    <t xml:space="preserve">Taxa de poupança</t>
  </si>
  <si>
    <t xml:space="preserve">Activos totais</t>
  </si>
  <si>
    <t xml:space="preserve">Passivos totais</t>
  </si>
  <si>
    <t xml:space="preserve">Patrimônio líquido</t>
  </si>
  <si>
    <t xml:space="preserve">Score de saúde</t>
  </si>
  <si>
    <t xml:space="preserve">💡 Dica: Copia os valores do Histórico da Calculadora da Virada para esta tabela mensalmente para acompanhar a tua evolução patrimonial ao longo do ano.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</si>
</sst>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0.00\x"/>
    <numFmt numFmtId="168" formatCode="0.0"/>
    <numFmt numFmtId="169" formatCode="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F172A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6D28D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F172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6D28D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6D28D9"/>
      <name val="Arial"/>
      <family val="0"/>
      <charset val="1"/>
    </font>
    <font>
      <b val="true"/>
      <sz val="14"/>
      <color rgb="FF0F172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i val="true"/>
      <sz val="10"/>
      <color rgb="FFD9770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E0D6B"/>
        <bgColor rgb="FF000080"/>
      </patternFill>
    </fill>
    <fill>
      <patternFill patternType="solid">
        <fgColor rgb="FFF8FAFC"/>
        <bgColor rgb="FFFFFFFF"/>
      </patternFill>
    </fill>
    <fill>
      <patternFill patternType="solid">
        <fgColor rgb="FF6D28D9"/>
        <bgColor rgb="FF800080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EE2E2"/>
      </patternFill>
    </fill>
    <fill>
      <patternFill patternType="solid">
        <fgColor rgb="FF059669"/>
        <bgColor rgb="FF008080"/>
      </patternFill>
    </fill>
    <fill>
      <patternFill patternType="solid">
        <fgColor rgb="FFD1FAE5"/>
        <bgColor rgb="FFEDE9FE"/>
      </patternFill>
    </fill>
    <fill>
      <patternFill patternType="solid">
        <fgColor rgb="FFDC2626"/>
        <bgColor rgb="FF993300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FEE2E2"/>
      </patternFill>
    </fill>
    <fill>
      <patternFill patternType="solid">
        <fgColor rgb="FFD97706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/>
      <bottom style="thin">
        <color rgb="FFCBD5E1"/>
      </bottom>
      <diagonal/>
    </border>
    <border diagonalUp="false" diagonalDown="false">
      <left/>
      <right style="thin">
        <color rgb="FFCBD5E1"/>
      </right>
      <top/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2E0D6B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F8FAFC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475569"/>
      <rgbColor rgb="FF94A3B8"/>
      <rgbColor rgb="FF003366"/>
      <rgbColor rgb="FF339966"/>
      <rgbColor rgb="FF0F172A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9.5" hidden="false" customHeight="true" outlineLevel="0" collapsed="false">
      <c r="A5" s="3" t="s">
        <v>1</v>
      </c>
      <c r="B5" s="3"/>
      <c r="C5" s="3"/>
      <c r="D5" s="3"/>
      <c r="E5" s="3"/>
      <c r="F5" s="3"/>
      <c r="G5" s="3"/>
      <c r="H5" s="3"/>
    </row>
    <row r="6" customFormat="false" ht="27.7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21.75" hidden="false" customHeight="true" outlineLevel="0" collapsed="false">
      <c r="A7" s="5" t="s">
        <v>3</v>
      </c>
      <c r="B7" s="5"/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A8" s="7" t="s">
        <v>4</v>
      </c>
      <c r="B8" s="7"/>
      <c r="C8" s="8"/>
      <c r="D8" s="8"/>
      <c r="E8" s="8"/>
      <c r="F8" s="8"/>
      <c r="G8" s="8"/>
      <c r="H8" s="8"/>
    </row>
    <row r="9" customFormat="false" ht="21.75" hidden="false" customHeight="true" outlineLevel="0" collapsed="false">
      <c r="A9" s="5" t="s">
        <v>5</v>
      </c>
      <c r="B9" s="5"/>
      <c r="C9" s="6" t="n">
        <v>0</v>
      </c>
      <c r="D9" s="6"/>
      <c r="E9" s="6"/>
      <c r="F9" s="6"/>
      <c r="G9" s="6"/>
      <c r="H9" s="6"/>
    </row>
    <row r="10" customFormat="false" ht="21.75" hidden="false" customHeight="true" outlineLevel="0" collapsed="false">
      <c r="A10" s="7" t="s">
        <v>6</v>
      </c>
      <c r="B10" s="7"/>
      <c r="C10" s="8" t="n">
        <v>0</v>
      </c>
      <c r="D10" s="8"/>
      <c r="E10" s="8"/>
      <c r="F10" s="8"/>
      <c r="G10" s="8"/>
      <c r="H10" s="8"/>
    </row>
    <row r="11" customFormat="false" ht="21.75" hidden="false" customHeight="true" outlineLevel="0" collapsed="false">
      <c r="A11" s="9" t="s">
        <v>7</v>
      </c>
      <c r="B11" s="9"/>
      <c r="C11" s="10" t="n">
        <f aca="false">C9+C10</f>
        <v>0</v>
      </c>
      <c r="D11" s="10"/>
      <c r="E11" s="10"/>
      <c r="F11" s="10"/>
      <c r="G11" s="10"/>
      <c r="H11" s="10"/>
    </row>
    <row r="13" customFormat="false" ht="27.75" hidden="false" customHeight="true" outlineLevel="0" collapsed="false">
      <c r="A13" s="11" t="s">
        <v>8</v>
      </c>
      <c r="B13" s="11"/>
      <c r="C13" s="11"/>
      <c r="D13" s="11"/>
      <c r="E13" s="11"/>
      <c r="F13" s="11"/>
      <c r="G13" s="11"/>
      <c r="H13" s="11"/>
    </row>
    <row r="14" customFormat="false" ht="21.75" hidden="false" customHeight="true" outlineLevel="0" collapsed="false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/>
    </row>
    <row r="15" customFormat="false" ht="19.5" hidden="false" customHeight="true" outlineLevel="0" collapsed="false">
      <c r="A15" s="13" t="s">
        <v>16</v>
      </c>
      <c r="B15" s="5" t="s">
        <v>14</v>
      </c>
      <c r="C15" s="14" t="n">
        <v>0</v>
      </c>
      <c r="D15" s="14" t="n">
        <v>0</v>
      </c>
      <c r="E15" s="15" t="n">
        <f aca="false">IF(C15=0,0,D15/C15)</f>
        <v>0</v>
      </c>
      <c r="F15" s="5" t="s">
        <v>17</v>
      </c>
      <c r="G15" s="16"/>
    </row>
    <row r="16" customFormat="false" ht="19.5" hidden="false" customHeight="true" outlineLevel="0" collapsed="false">
      <c r="A16" s="17" t="s">
        <v>18</v>
      </c>
      <c r="B16" s="7" t="s">
        <v>14</v>
      </c>
      <c r="C16" s="18" t="n">
        <v>0</v>
      </c>
      <c r="D16" s="18" t="n">
        <v>0</v>
      </c>
      <c r="E16" s="19" t="n">
        <f aca="false">IF(C16=0,0,D16/C16)</f>
        <v>0</v>
      </c>
      <c r="F16" s="7" t="s">
        <v>17</v>
      </c>
      <c r="G16" s="20"/>
    </row>
    <row r="17" customFormat="false" ht="19.5" hidden="false" customHeight="true" outlineLevel="0" collapsed="false">
      <c r="A17" s="13" t="s">
        <v>19</v>
      </c>
      <c r="B17" s="5" t="s">
        <v>20</v>
      </c>
      <c r="C17" s="14" t="n">
        <v>0</v>
      </c>
      <c r="D17" s="14" t="n">
        <v>0</v>
      </c>
      <c r="E17" s="15" t="n">
        <f aca="false">IF(C17=0,0,D17/C17)</f>
        <v>0</v>
      </c>
      <c r="F17" s="5" t="s">
        <v>21</v>
      </c>
      <c r="G17" s="16"/>
    </row>
    <row r="18" customFormat="false" ht="19.5" hidden="false" customHeight="true" outlineLevel="0" collapsed="false">
      <c r="A18" s="17" t="s">
        <v>22</v>
      </c>
      <c r="B18" s="7" t="s">
        <v>23</v>
      </c>
      <c r="C18" s="18" t="n">
        <v>0</v>
      </c>
      <c r="D18" s="18" t="n">
        <v>0</v>
      </c>
      <c r="E18" s="19" t="n">
        <f aca="false">IF(C18=0,0,D18/C18)</f>
        <v>0</v>
      </c>
      <c r="F18" s="7" t="s">
        <v>24</v>
      </c>
      <c r="G18" s="20"/>
    </row>
    <row r="19" customFormat="false" ht="19.5" hidden="false" customHeight="true" outlineLevel="0" collapsed="false">
      <c r="A19" s="13" t="s">
        <v>25</v>
      </c>
      <c r="B19" s="5" t="s">
        <v>26</v>
      </c>
      <c r="C19" s="14" t="n">
        <v>0</v>
      </c>
      <c r="D19" s="14" t="n">
        <v>0</v>
      </c>
      <c r="E19" s="15" t="n">
        <f aca="false">IF(C19=0,0,D19/C19)</f>
        <v>0</v>
      </c>
      <c r="F19" s="5" t="s">
        <v>24</v>
      </c>
      <c r="G19" s="16"/>
    </row>
    <row r="20" customFormat="false" ht="19.5" hidden="false" customHeight="true" outlineLevel="0" collapsed="false">
      <c r="A20" s="17" t="s">
        <v>27</v>
      </c>
      <c r="B20" s="7" t="s">
        <v>28</v>
      </c>
      <c r="C20" s="18" t="n">
        <v>0</v>
      </c>
      <c r="D20" s="18" t="n">
        <v>0</v>
      </c>
      <c r="E20" s="19" t="n">
        <f aca="false">IF(C20=0,0,D20/C20)</f>
        <v>0</v>
      </c>
      <c r="F20" s="7" t="s">
        <v>29</v>
      </c>
      <c r="G20" s="20"/>
    </row>
    <row r="21" customFormat="false" ht="19.5" hidden="false" customHeight="true" outlineLevel="0" collapsed="false">
      <c r="A21" s="13" t="s">
        <v>30</v>
      </c>
      <c r="B21" s="5" t="s">
        <v>31</v>
      </c>
      <c r="C21" s="14" t="n">
        <v>0</v>
      </c>
      <c r="D21" s="14" t="n">
        <v>0</v>
      </c>
      <c r="E21" s="15" t="n">
        <f aca="false">IF(C21=0,0,D21/C21)</f>
        <v>0</v>
      </c>
      <c r="F21" s="5" t="s">
        <v>29</v>
      </c>
      <c r="G21" s="16"/>
    </row>
    <row r="22" customFormat="false" ht="19.5" hidden="false" customHeight="true" outlineLevel="0" collapsed="false">
      <c r="A22" s="21" t="s">
        <v>32</v>
      </c>
      <c r="B22" s="22"/>
      <c r="C22" s="23" t="n">
        <f aca="false">SUM(C15:C21)</f>
        <v>0</v>
      </c>
      <c r="D22" s="23" t="n">
        <f aca="false">SUM(D15:D21)</f>
        <v>0</v>
      </c>
      <c r="E22" s="24" t="n">
        <f aca="false">IF(C22=0,0,D22/C22)</f>
        <v>0</v>
      </c>
      <c r="F22" s="22"/>
      <c r="G22" s="25"/>
    </row>
    <row r="24" customFormat="false" ht="27.75" hidden="false" customHeight="true" outlineLevel="0" collapsed="false">
      <c r="A24" s="26" t="s">
        <v>33</v>
      </c>
      <c r="B24" s="26"/>
      <c r="C24" s="26"/>
      <c r="D24" s="26"/>
      <c r="E24" s="26"/>
      <c r="F24" s="26"/>
      <c r="G24" s="26"/>
      <c r="H24" s="26"/>
    </row>
    <row r="25" customFormat="false" ht="21.75" hidden="false" customHeight="true" outlineLevel="0" collapsed="false">
      <c r="A25" s="27" t="s">
        <v>34</v>
      </c>
      <c r="B25" s="27" t="s">
        <v>10</v>
      </c>
      <c r="C25" s="27" t="s">
        <v>35</v>
      </c>
      <c r="D25" s="27" t="s">
        <v>36</v>
      </c>
      <c r="E25" s="27" t="s">
        <v>37</v>
      </c>
      <c r="F25" s="27" t="s">
        <v>38</v>
      </c>
      <c r="G25" s="27" t="s">
        <v>39</v>
      </c>
      <c r="H25" s="27"/>
    </row>
    <row r="26" customFormat="false" ht="19.5" hidden="false" customHeight="true" outlineLevel="0" collapsed="false">
      <c r="A26" s="17" t="s">
        <v>40</v>
      </c>
      <c r="B26" s="7" t="s">
        <v>41</v>
      </c>
      <c r="C26" s="18" t="n">
        <v>0</v>
      </c>
      <c r="D26" s="18" t="n">
        <v>0</v>
      </c>
      <c r="E26" s="28" t="n">
        <v>0</v>
      </c>
      <c r="F26" s="29" t="n">
        <v>0</v>
      </c>
      <c r="G26" s="20"/>
    </row>
    <row r="27" customFormat="false" ht="19.5" hidden="false" customHeight="true" outlineLevel="0" collapsed="false">
      <c r="A27" s="13" t="s">
        <v>42</v>
      </c>
      <c r="B27" s="5" t="s">
        <v>43</v>
      </c>
      <c r="C27" s="14" t="n">
        <v>0</v>
      </c>
      <c r="D27" s="14" t="n">
        <v>0</v>
      </c>
      <c r="E27" s="30" t="n">
        <v>0</v>
      </c>
      <c r="F27" s="31" t="n">
        <v>0</v>
      </c>
      <c r="G27" s="16"/>
    </row>
    <row r="28" customFormat="false" ht="19.5" hidden="false" customHeight="true" outlineLevel="0" collapsed="false">
      <c r="A28" s="17" t="s">
        <v>44</v>
      </c>
      <c r="B28" s="7" t="s">
        <v>45</v>
      </c>
      <c r="C28" s="18" t="n">
        <v>0</v>
      </c>
      <c r="D28" s="18" t="n">
        <v>0</v>
      </c>
      <c r="E28" s="28" t="n">
        <v>0</v>
      </c>
      <c r="F28" s="29" t="n">
        <v>0</v>
      </c>
      <c r="G28" s="20"/>
    </row>
    <row r="29" customFormat="false" ht="19.5" hidden="false" customHeight="true" outlineLevel="0" collapsed="false">
      <c r="A29" s="13" t="s">
        <v>46</v>
      </c>
      <c r="B29" s="5" t="s">
        <v>47</v>
      </c>
      <c r="C29" s="14" t="n">
        <v>0</v>
      </c>
      <c r="D29" s="14" t="n">
        <v>0</v>
      </c>
      <c r="E29" s="30" t="n">
        <v>0</v>
      </c>
      <c r="F29" s="31" t="n">
        <v>0</v>
      </c>
      <c r="G29" s="16"/>
    </row>
    <row r="30" customFormat="false" ht="19.5" hidden="false" customHeight="true" outlineLevel="0" collapsed="false">
      <c r="A30" s="17" t="s">
        <v>48</v>
      </c>
      <c r="B30" s="7" t="s">
        <v>49</v>
      </c>
      <c r="C30" s="18" t="n">
        <v>0</v>
      </c>
      <c r="D30" s="18" t="n">
        <v>0</v>
      </c>
      <c r="E30" s="28" t="n">
        <v>0</v>
      </c>
      <c r="F30" s="29" t="n">
        <v>0</v>
      </c>
      <c r="G30" s="20"/>
    </row>
    <row r="31" customFormat="false" ht="19.5" hidden="false" customHeight="true" outlineLevel="0" collapsed="false">
      <c r="A31" s="13" t="s">
        <v>50</v>
      </c>
      <c r="B31" s="5" t="s">
        <v>31</v>
      </c>
      <c r="C31" s="14" t="n">
        <v>0</v>
      </c>
      <c r="D31" s="14" t="n">
        <v>0</v>
      </c>
      <c r="E31" s="30" t="n">
        <v>0</v>
      </c>
      <c r="F31" s="31" t="n">
        <v>0</v>
      </c>
      <c r="G31" s="16"/>
    </row>
    <row r="32" customFormat="false" ht="19.5" hidden="false" customHeight="true" outlineLevel="0" collapsed="false">
      <c r="A32" s="32" t="s">
        <v>51</v>
      </c>
      <c r="B32" s="33"/>
      <c r="C32" s="34" t="n">
        <f aca="false">SUM(C26:C31)</f>
        <v>0</v>
      </c>
      <c r="D32" s="34" t="n">
        <f aca="false">SUM(D26:D31)</f>
        <v>0</v>
      </c>
      <c r="E32" s="35"/>
      <c r="F32" s="33"/>
      <c r="G32" s="36"/>
    </row>
    <row r="34" customFormat="false" ht="27.75" hidden="false" customHeight="true" outlineLevel="0" collapsed="false">
      <c r="A34" s="4" t="s">
        <v>52</v>
      </c>
      <c r="B34" s="4"/>
      <c r="C34" s="4"/>
      <c r="D34" s="4"/>
      <c r="E34" s="4"/>
      <c r="F34" s="4"/>
      <c r="G34" s="4"/>
      <c r="H34" s="4"/>
    </row>
    <row r="35" customFormat="false" ht="19.5" hidden="false" customHeight="true" outlineLevel="0" collapsed="false">
      <c r="A35" s="37" t="s">
        <v>53</v>
      </c>
      <c r="B35" s="37"/>
      <c r="C35" s="38" t="n">
        <f aca="false">C22</f>
        <v>0</v>
      </c>
      <c r="D35" s="38"/>
      <c r="E35" s="38"/>
      <c r="F35" s="38"/>
      <c r="G35" s="38"/>
      <c r="H35" s="38"/>
    </row>
    <row r="36" customFormat="false" ht="19.5" hidden="false" customHeight="true" outlineLevel="0" collapsed="false">
      <c r="A36" s="39" t="s">
        <v>54</v>
      </c>
      <c r="B36" s="39"/>
      <c r="C36" s="40" t="n">
        <f aca="false">C32</f>
        <v>0</v>
      </c>
      <c r="D36" s="40"/>
      <c r="E36" s="40"/>
      <c r="F36" s="40"/>
      <c r="G36" s="40"/>
      <c r="H36" s="40"/>
    </row>
    <row r="37" customFormat="false" ht="24" hidden="false" customHeight="true" outlineLevel="0" collapsed="false">
      <c r="A37" s="41" t="s">
        <v>55</v>
      </c>
      <c r="B37" s="41"/>
      <c r="C37" s="42" t="n">
        <f aca="false">C35-C36</f>
        <v>0</v>
      </c>
      <c r="D37" s="42"/>
      <c r="E37" s="42"/>
      <c r="F37" s="42"/>
      <c r="G37" s="42"/>
      <c r="H37" s="42"/>
    </row>
    <row r="38" customFormat="false" ht="19.5" hidden="false" customHeight="true" outlineLevel="0" collapsed="false">
      <c r="A38" s="39" t="s">
        <v>56</v>
      </c>
      <c r="B38" s="39"/>
      <c r="C38" s="43" t="str">
        <f aca="false">IF(C36=0,"N/A",C35/C36)</f>
        <v>N/A</v>
      </c>
      <c r="D38" s="43"/>
      <c r="E38" s="43"/>
      <c r="F38" s="43"/>
      <c r="G38" s="43"/>
      <c r="H38" s="43"/>
    </row>
    <row r="40" customFormat="false" ht="27.75" hidden="false" customHeight="true" outlineLevel="0" collapsed="false">
      <c r="A40" s="44" t="s">
        <v>57</v>
      </c>
      <c r="B40" s="44"/>
      <c r="C40" s="44"/>
      <c r="D40" s="44"/>
      <c r="E40" s="44"/>
      <c r="F40" s="44"/>
      <c r="G40" s="44"/>
      <c r="H40" s="44"/>
    </row>
    <row r="41" customFormat="false" ht="15" hidden="false" customHeight="true" outlineLevel="0" collapsed="false">
      <c r="A41" s="45" t="s">
        <v>58</v>
      </c>
      <c r="B41" s="45" t="s">
        <v>9</v>
      </c>
      <c r="C41" s="45" t="s">
        <v>59</v>
      </c>
      <c r="D41" s="45" t="s">
        <v>60</v>
      </c>
      <c r="E41" s="45" t="s">
        <v>10</v>
      </c>
      <c r="F41" s="45" t="s">
        <v>61</v>
      </c>
      <c r="G41" s="45" t="s">
        <v>15</v>
      </c>
      <c r="H41" s="45"/>
    </row>
    <row r="42" customFormat="false" ht="19.5" hidden="false" customHeight="true" outlineLevel="0" collapsed="false">
      <c r="A42" s="17" t="s">
        <v>62</v>
      </c>
      <c r="B42" s="7" t="s">
        <v>40</v>
      </c>
      <c r="C42" s="18" t="n">
        <v>0</v>
      </c>
      <c r="D42" s="19" t="n">
        <f aca="false">IF($C$9=0,0,C42/$C$9)</f>
        <v>0</v>
      </c>
      <c r="E42" s="7" t="s">
        <v>63</v>
      </c>
      <c r="F42" s="7" t="s">
        <v>64</v>
      </c>
      <c r="G42" s="20"/>
    </row>
    <row r="43" customFormat="false" ht="19.5" hidden="false" customHeight="true" outlineLevel="0" collapsed="false">
      <c r="A43" s="13" t="s">
        <v>65</v>
      </c>
      <c r="B43" s="5" t="s">
        <v>66</v>
      </c>
      <c r="C43" s="14" t="n">
        <v>0</v>
      </c>
      <c r="D43" s="15" t="n">
        <f aca="false">IF($C$9=0,0,C43/$C$9)</f>
        <v>0</v>
      </c>
      <c r="E43" s="5" t="s">
        <v>63</v>
      </c>
      <c r="F43" s="5" t="s">
        <v>64</v>
      </c>
      <c r="G43" s="16"/>
    </row>
    <row r="44" customFormat="false" ht="19.5" hidden="false" customHeight="true" outlineLevel="0" collapsed="false">
      <c r="A44" s="17" t="s">
        <v>67</v>
      </c>
      <c r="B44" s="7" t="s">
        <v>68</v>
      </c>
      <c r="C44" s="18" t="n">
        <v>0</v>
      </c>
      <c r="D44" s="19" t="n">
        <f aca="false">IF($C$9=0,0,C44/$C$9)</f>
        <v>0</v>
      </c>
      <c r="E44" s="7" t="s">
        <v>63</v>
      </c>
      <c r="F44" s="7" t="s">
        <v>64</v>
      </c>
      <c r="G44" s="20"/>
    </row>
    <row r="45" customFormat="false" ht="19.5" hidden="false" customHeight="true" outlineLevel="0" collapsed="false">
      <c r="A45" s="13" t="s">
        <v>69</v>
      </c>
      <c r="B45" s="5" t="s">
        <v>70</v>
      </c>
      <c r="C45" s="14" t="n">
        <v>0</v>
      </c>
      <c r="D45" s="15" t="n">
        <f aca="false">IF($C$9=0,0,C45/$C$9)</f>
        <v>0</v>
      </c>
      <c r="E45" s="5" t="s">
        <v>29</v>
      </c>
      <c r="F45" s="5" t="s">
        <v>64</v>
      </c>
      <c r="G45" s="16"/>
    </row>
    <row r="46" customFormat="false" ht="19.5" hidden="false" customHeight="true" outlineLevel="0" collapsed="false">
      <c r="A46" s="17" t="s">
        <v>71</v>
      </c>
      <c r="B46" s="7" t="s">
        <v>72</v>
      </c>
      <c r="C46" s="18" t="n">
        <v>0</v>
      </c>
      <c r="D46" s="19" t="n">
        <f aca="false">IF($C$9=0,0,C46/$C$9)</f>
        <v>0</v>
      </c>
      <c r="E46" s="7" t="s">
        <v>29</v>
      </c>
      <c r="F46" s="7" t="s">
        <v>64</v>
      </c>
      <c r="G46" s="20"/>
    </row>
    <row r="47" customFormat="false" ht="19.5" hidden="false" customHeight="true" outlineLevel="0" collapsed="false">
      <c r="A47" s="13" t="s">
        <v>73</v>
      </c>
      <c r="B47" s="5" t="s">
        <v>74</v>
      </c>
      <c r="C47" s="14" t="n">
        <v>0</v>
      </c>
      <c r="D47" s="15" t="n">
        <f aca="false">IF($C$9=0,0,C47/$C$9)</f>
        <v>0</v>
      </c>
      <c r="E47" s="5" t="s">
        <v>29</v>
      </c>
      <c r="F47" s="5" t="s">
        <v>64</v>
      </c>
      <c r="G47" s="16"/>
    </row>
    <row r="48" customFormat="false" ht="19.5" hidden="false" customHeight="true" outlineLevel="0" collapsed="false">
      <c r="A48" s="17" t="s">
        <v>75</v>
      </c>
      <c r="B48" s="7" t="s">
        <v>76</v>
      </c>
      <c r="C48" s="18" t="n">
        <v>0</v>
      </c>
      <c r="D48" s="19" t="n">
        <f aca="false">IF($C$9=0,0,C48/$C$9)</f>
        <v>0</v>
      </c>
      <c r="E48" s="7" t="s">
        <v>29</v>
      </c>
      <c r="F48" s="7" t="s">
        <v>77</v>
      </c>
      <c r="G48" s="20"/>
    </row>
    <row r="49" customFormat="false" ht="19.5" hidden="false" customHeight="true" outlineLevel="0" collapsed="false">
      <c r="A49" s="13" t="s">
        <v>78</v>
      </c>
      <c r="B49" s="5" t="s">
        <v>79</v>
      </c>
      <c r="C49" s="14" t="n">
        <v>0</v>
      </c>
      <c r="D49" s="15" t="n">
        <f aca="false">IF($C$9=0,0,C49/$C$9)</f>
        <v>0</v>
      </c>
      <c r="E49" s="5" t="s">
        <v>63</v>
      </c>
      <c r="F49" s="5" t="s">
        <v>77</v>
      </c>
      <c r="G49" s="16"/>
    </row>
    <row r="50" customFormat="false" ht="19.5" hidden="false" customHeight="true" outlineLevel="0" collapsed="false">
      <c r="A50" s="17" t="s">
        <v>80</v>
      </c>
      <c r="B50" s="7" t="s">
        <v>81</v>
      </c>
      <c r="C50" s="18" t="n">
        <v>0</v>
      </c>
      <c r="D50" s="19" t="n">
        <f aca="false">IF($C$9=0,0,C50/$C$9)</f>
        <v>0</v>
      </c>
      <c r="E50" s="7" t="s">
        <v>63</v>
      </c>
      <c r="F50" s="7" t="s">
        <v>29</v>
      </c>
      <c r="G50" s="20"/>
    </row>
    <row r="51" customFormat="false" ht="19.5" hidden="false" customHeight="true" outlineLevel="0" collapsed="false">
      <c r="A51" s="13" t="s">
        <v>82</v>
      </c>
      <c r="B51" s="5" t="s">
        <v>83</v>
      </c>
      <c r="C51" s="14" t="n">
        <v>0</v>
      </c>
      <c r="D51" s="15" t="n">
        <f aca="false">IF($C$9=0,0,C51/$C$9)</f>
        <v>0</v>
      </c>
      <c r="E51" s="5" t="s">
        <v>29</v>
      </c>
      <c r="F51" s="5" t="s">
        <v>29</v>
      </c>
      <c r="G51" s="16"/>
    </row>
    <row r="52" customFormat="false" ht="19.5" hidden="false" customHeight="true" outlineLevel="0" collapsed="false">
      <c r="A52" s="17" t="s">
        <v>84</v>
      </c>
      <c r="B52" s="7" t="s">
        <v>85</v>
      </c>
      <c r="C52" s="18" t="n">
        <v>0</v>
      </c>
      <c r="D52" s="19" t="n">
        <f aca="false">IF($C$9=0,0,C52/$C$9)</f>
        <v>0</v>
      </c>
      <c r="E52" s="7" t="s">
        <v>63</v>
      </c>
      <c r="F52" s="7" t="s">
        <v>64</v>
      </c>
      <c r="G52" s="20"/>
    </row>
    <row r="53" customFormat="false" ht="19.5" hidden="false" customHeight="true" outlineLevel="0" collapsed="false">
      <c r="A53" s="13" t="s">
        <v>86</v>
      </c>
      <c r="B53" s="5"/>
      <c r="C53" s="14" t="n">
        <v>0</v>
      </c>
      <c r="D53" s="15" t="n">
        <f aca="false">IF($C$9=0,0,C53/$C$9)</f>
        <v>0</v>
      </c>
      <c r="E53" s="5" t="s">
        <v>29</v>
      </c>
      <c r="F53" s="5"/>
      <c r="G53" s="16"/>
    </row>
    <row r="54" customFormat="false" ht="19.5" hidden="false" customHeight="true" outlineLevel="0" collapsed="false">
      <c r="A54" s="46" t="s">
        <v>87</v>
      </c>
      <c r="B54" s="9"/>
      <c r="C54" s="47" t="n">
        <f aca="false">SUM(C42:C53)</f>
        <v>0</v>
      </c>
      <c r="D54" s="48" t="n">
        <f aca="false">IF($C$9=0,0,C54/$C$9)</f>
        <v>0</v>
      </c>
      <c r="E54" s="9"/>
      <c r="F54" s="9"/>
      <c r="G54" s="49"/>
    </row>
    <row r="56" customFormat="false" ht="18" hidden="false" customHeight="true" outlineLevel="0" collapsed="false">
      <c r="A56" s="50" t="s">
        <v>88</v>
      </c>
      <c r="B56" s="50"/>
      <c r="C56" s="50"/>
      <c r="D56" s="50"/>
      <c r="E56" s="50"/>
      <c r="F56" s="50"/>
      <c r="G56" s="50"/>
      <c r="H56" s="50"/>
    </row>
  </sheetData>
  <mergeCells count="26">
    <mergeCell ref="A1:H4"/>
    <mergeCell ref="A5:H5"/>
    <mergeCell ref="A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3:H13"/>
    <mergeCell ref="A24:H24"/>
    <mergeCell ref="A34:H34"/>
    <mergeCell ref="A35:B35"/>
    <mergeCell ref="C35:H35"/>
    <mergeCell ref="A36:B36"/>
    <mergeCell ref="C36:H36"/>
    <mergeCell ref="A37:B37"/>
    <mergeCell ref="C37:H37"/>
    <mergeCell ref="A38:B38"/>
    <mergeCell ref="C38:H38"/>
    <mergeCell ref="A40:H40"/>
    <mergeCell ref="A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49.5" hidden="false" customHeight="true" outlineLevel="0" collapsed="false">
      <c r="A1" s="51" t="s">
        <v>89</v>
      </c>
      <c r="B1" s="51"/>
      <c r="C1" s="51"/>
      <c r="D1" s="51"/>
      <c r="E1" s="51"/>
      <c r="F1" s="51"/>
      <c r="G1" s="51"/>
    </row>
    <row r="2" customFormat="false" ht="15" hidden="false" customHeight="true" outlineLevel="0" collapsed="false">
      <c r="A2" s="51"/>
      <c r="B2" s="51"/>
      <c r="C2" s="51"/>
      <c r="D2" s="51"/>
      <c r="E2" s="51"/>
      <c r="F2" s="51"/>
      <c r="G2" s="51"/>
    </row>
    <row r="3" customFormat="false" ht="15" hidden="false" customHeight="true" outlineLevel="0" collapsed="false">
      <c r="A3" s="51"/>
      <c r="B3" s="51"/>
      <c r="C3" s="51"/>
      <c r="D3" s="51"/>
      <c r="E3" s="51"/>
      <c r="F3" s="51"/>
      <c r="G3" s="51"/>
    </row>
    <row r="5" customFormat="false" ht="27.75" hidden="false" customHeight="true" outlineLevel="0" collapsed="false">
      <c r="A5" s="4" t="s">
        <v>90</v>
      </c>
      <c r="B5" s="4"/>
      <c r="C5" s="4"/>
      <c r="D5" s="4"/>
      <c r="E5" s="4"/>
      <c r="F5" s="4"/>
      <c r="G5" s="4"/>
    </row>
    <row r="6" customFormat="false" ht="15" hidden="false" customHeight="true" outlineLevel="0" collapsed="false">
      <c r="A6" s="52" t="s">
        <v>91</v>
      </c>
      <c r="B6" s="52" t="s">
        <v>92</v>
      </c>
      <c r="C6" s="52" t="s">
        <v>93</v>
      </c>
      <c r="D6" s="52" t="s">
        <v>94</v>
      </c>
      <c r="E6" s="52" t="s">
        <v>95</v>
      </c>
      <c r="F6" s="52" t="s">
        <v>96</v>
      </c>
      <c r="G6" s="52"/>
    </row>
    <row r="7" customFormat="false" ht="21.75" hidden="false" customHeight="true" outlineLevel="0" collapsed="false">
      <c r="A7" s="13" t="s">
        <v>97</v>
      </c>
      <c r="B7" s="53" t="s">
        <v>98</v>
      </c>
      <c r="C7" s="15" t="n">
        <f aca="false">IF('📊 Diagnóstico'!C11=0,0,('📊 Diagnóstico'!C11-'📊 Diagnóstico'!C54)/'📊 Diagnóstico'!C11)</f>
        <v>0</v>
      </c>
      <c r="D7" s="54" t="n">
        <f aca="false">IF(C7&gt;=0.2,10,IF(C7&gt;=0.1,7,IF(C7&gt;=0.05,4,1)))</f>
        <v>1</v>
      </c>
      <c r="E7" s="53" t="str">
        <f aca="false">IF(C7&gt;=0.2,"🟢 Excelente",IF(C7&gt;=0.1,"🟡 Bom",IF(C7&gt;=0.05,"🟠 Atenção","🔴 Crítico")))</f>
        <v>🔴 Crítico</v>
      </c>
      <c r="F7" s="16" t="s">
        <v>99</v>
      </c>
    </row>
    <row r="8" customFormat="false" ht="21.75" hidden="false" customHeight="true" outlineLevel="0" collapsed="false">
      <c r="A8" s="17" t="s">
        <v>100</v>
      </c>
      <c r="B8" s="7" t="s">
        <v>101</v>
      </c>
      <c r="C8" s="19" t="n">
        <f aca="false">IF('📊 Diagnóstico'!C11=0,0,'📊 Diagnóstico'!D32/'📊 Diagnóstico'!C11)</f>
        <v>0</v>
      </c>
      <c r="D8" s="55" t="n">
        <f aca="false">IF(C8&lt;=0.2,10,IF(C8&lt;=0.35,7,IF(C8&lt;=0.5,4,1)))</f>
        <v>10</v>
      </c>
      <c r="E8" s="56" t="str">
        <f aca="false">IF(C8&lt;=0.2,"🟢 Excelente",IF(C8&lt;=0.35,"🟡 Aceitável",IF(C8&lt;=0.5,"🟠 Atenção","🔴 Crítico")))</f>
        <v>🟢 Excelente</v>
      </c>
      <c r="F8" s="20" t="s">
        <v>102</v>
      </c>
    </row>
    <row r="9" customFormat="false" ht="21.75" hidden="false" customHeight="true" outlineLevel="0" collapsed="false">
      <c r="A9" s="13" t="s">
        <v>103</v>
      </c>
      <c r="B9" s="5" t="s">
        <v>104</v>
      </c>
      <c r="C9" s="15" t="n">
        <f aca="false">IF('📊 Diagnóstico'!C54=0,0,'📊 Diagnóstico'!C15/'📊 Diagnóstico'!C54)</f>
        <v>0</v>
      </c>
      <c r="D9" s="54" t="n">
        <f aca="false">IF(C9&gt;=6,10,IF(C9&gt;=3,7,IF(C9&gt;=1,4,1)))</f>
        <v>1</v>
      </c>
      <c r="E9" s="53" t="str">
        <f aca="false">IF(C9&gt;=6,"🟢 Excelente",IF(C9&gt;=3,"🟡 Bom",IF(C9&gt;=1,"🟠 Atenção","🔴 Crítico")))</f>
        <v>🔴 Crítico</v>
      </c>
      <c r="F9" s="16" t="s">
        <v>105</v>
      </c>
    </row>
    <row r="10" customFormat="false" ht="21.75" hidden="false" customHeight="true" outlineLevel="0" collapsed="false">
      <c r="A10" s="17" t="s">
        <v>106</v>
      </c>
      <c r="B10" s="7" t="s">
        <v>107</v>
      </c>
      <c r="C10" s="19" t="str">
        <f aca="false">IF('📊 Diagnóstico'!C32=0,"N/A",'📊 Diagnóstico'!C22/'📊 Diagnóstico'!C32)</f>
        <v>N/A</v>
      </c>
      <c r="D10" s="55" t="n">
        <f aca="false">IF(ISNUMBER(C10),IF(C10&gt;=2,10,IF(C10&gt;=1,6,2)),5)</f>
        <v>5</v>
      </c>
      <c r="E10" s="56" t="str">
        <f aca="false">IF(ISNUMBER(C10),IF(C10&gt;=2,"🟢 Excelente",IF(C10&gt;=1,"🟡 OK","🔴 Risco")),"ℹ️ Sem dívidas")</f>
        <v>ℹ️ Sem dívidas</v>
      </c>
      <c r="F10" s="20" t="s">
        <v>108</v>
      </c>
    </row>
    <row r="11" customFormat="false" ht="21.75" hidden="false" customHeight="true" outlineLevel="0" collapsed="false">
      <c r="A11" s="13" t="s">
        <v>109</v>
      </c>
      <c r="B11" s="5" t="s">
        <v>110</v>
      </c>
      <c r="C11" s="15" t="n">
        <f aca="false">IF('📊 Diagnóstico'!C11=0,0,'📊 Diagnóstico'!C52/'📊 Diagnóstico'!C11)</f>
        <v>0</v>
      </c>
      <c r="D11" s="54" t="n">
        <f aca="false">IF(C11&gt;=0.2,10,IF(C11&gt;=0.1,7,IF(C11&gt;=0.05,4,1)))</f>
        <v>1</v>
      </c>
      <c r="E11" s="53" t="str">
        <f aca="false">IF(C11&gt;=0.2,"🟢 Excelente",IF(C11&gt;=0.1,"🟡 Bom",IF(C11&gt;=0.05,"🟠 Fraco","🔴 Nenhum")))</f>
        <v>🔴 Nenhum</v>
      </c>
      <c r="F11" s="16" t="s">
        <v>111</v>
      </c>
    </row>
    <row r="12" customFormat="false" ht="21.75" hidden="false" customHeight="true" outlineLevel="0" collapsed="false">
      <c r="A12" s="17" t="s">
        <v>112</v>
      </c>
      <c r="B12" s="7" t="s">
        <v>113</v>
      </c>
      <c r="C12" s="19" t="n">
        <f aca="false">IF('📊 Diagnóstico'!C11=0,0,'📊 Diagnóstico'!C42/'📊 Diagnóstico'!C11)</f>
        <v>0</v>
      </c>
      <c r="D12" s="55" t="n">
        <f aca="false">IF(C12&lt;=0.3,10,IF(C12&lt;=0.4,6,IF(C12&lt;=0.5,3,1)))</f>
        <v>10</v>
      </c>
      <c r="E12" s="56" t="str">
        <f aca="false">IF(C12&lt;=0.3,"🟢 OK",IF(C12&lt;=0.4,"🟡 Atenção","🔴 Elevado"))</f>
        <v>🟢 OK</v>
      </c>
      <c r="F12" s="20" t="s">
        <v>114</v>
      </c>
    </row>
    <row r="13" customFormat="false" ht="31.5" hidden="false" customHeight="true" outlineLevel="0" collapsed="false">
      <c r="A13" s="57" t="s">
        <v>115</v>
      </c>
      <c r="B13" s="57"/>
      <c r="C13" s="58" t="n">
        <f aca="false">SUM(D7:D12)/60*100</f>
        <v>46.6666666666667</v>
      </c>
      <c r="D13" s="58"/>
      <c r="E13" s="59" t="str">
        <f aca="false">IF(C13&gt;=80,"🏆 Excelente",IF(C13&gt;=60,"🟢 Bom",IF(C13&gt;=40,"🟡 Regular",IF(C13&gt;=20,"🟠 Atenção","🔴 Crítico"))))</f>
        <v>🟡 Regular</v>
      </c>
      <c r="F13" s="59"/>
    </row>
    <row r="15" customFormat="false" ht="27.75" hidden="false" customHeight="true" outlineLevel="0" collapsed="false">
      <c r="A15" s="60" t="s">
        <v>116</v>
      </c>
      <c r="B15" s="60"/>
      <c r="C15" s="60"/>
      <c r="D15" s="60"/>
      <c r="E15" s="60"/>
      <c r="F15" s="60"/>
      <c r="G15" s="60"/>
    </row>
    <row r="16" customFormat="false" ht="21.75" hidden="false" customHeight="true" outlineLevel="0" collapsed="false">
      <c r="A16" s="61" t="s">
        <v>117</v>
      </c>
      <c r="B16" s="62" t="s">
        <v>118</v>
      </c>
      <c r="C16" s="61" t="s">
        <v>119</v>
      </c>
      <c r="D16" s="61"/>
      <c r="E16" s="61"/>
      <c r="F16" s="61"/>
      <c r="G16" s="61"/>
    </row>
    <row r="17" customFormat="false" ht="21.75" hidden="false" customHeight="true" outlineLevel="0" collapsed="false">
      <c r="A17" s="63" t="s">
        <v>120</v>
      </c>
      <c r="B17" s="64" t="s">
        <v>121</v>
      </c>
      <c r="C17" s="63" t="s">
        <v>122</v>
      </c>
      <c r="D17" s="63"/>
      <c r="E17" s="63"/>
      <c r="F17" s="63"/>
      <c r="G17" s="63"/>
    </row>
    <row r="18" customFormat="false" ht="21.75" hidden="false" customHeight="true" outlineLevel="0" collapsed="false">
      <c r="A18" s="61" t="s">
        <v>123</v>
      </c>
      <c r="B18" s="62" t="s">
        <v>124</v>
      </c>
      <c r="C18" s="61" t="s">
        <v>125</v>
      </c>
      <c r="D18" s="61"/>
      <c r="E18" s="61"/>
      <c r="F18" s="61"/>
      <c r="G18" s="61"/>
    </row>
    <row r="19" customFormat="false" ht="21.75" hidden="false" customHeight="true" outlineLevel="0" collapsed="false">
      <c r="A19" s="63" t="s">
        <v>126</v>
      </c>
      <c r="B19" s="64" t="s">
        <v>127</v>
      </c>
      <c r="C19" s="63" t="s">
        <v>128</v>
      </c>
      <c r="D19" s="63"/>
      <c r="E19" s="63"/>
      <c r="F19" s="63"/>
      <c r="G19" s="63"/>
    </row>
    <row r="20" customFormat="false" ht="21.75" hidden="false" customHeight="true" outlineLevel="0" collapsed="false">
      <c r="A20" s="61" t="s">
        <v>129</v>
      </c>
      <c r="B20" s="62" t="s">
        <v>130</v>
      </c>
      <c r="C20" s="61" t="s">
        <v>131</v>
      </c>
      <c r="D20" s="61"/>
      <c r="E20" s="61"/>
      <c r="F20" s="61"/>
      <c r="G20" s="61"/>
    </row>
  </sheetData>
  <mergeCells count="11">
    <mergeCell ref="A1:G3"/>
    <mergeCell ref="A5:G5"/>
    <mergeCell ref="A13:B13"/>
    <mergeCell ref="C13:D13"/>
    <mergeCell ref="E13:F13"/>
    <mergeCell ref="A15:G15"/>
    <mergeCell ref="C16:G16"/>
    <mergeCell ref="C17:G17"/>
    <mergeCell ref="C18:G18"/>
    <mergeCell ref="C19:G19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49.5" hidden="false" customHeight="true" outlineLevel="0" collapsed="false">
      <c r="A1" s="2" t="s">
        <v>132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5" customFormat="false" ht="27.75" hidden="false" customHeight="true" outlineLevel="0" collapsed="false">
      <c r="A5" s="4" t="s">
        <v>133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52" t="s">
        <v>134</v>
      </c>
      <c r="B6" s="52" t="s">
        <v>135</v>
      </c>
      <c r="C6" s="52" t="s">
        <v>136</v>
      </c>
      <c r="D6" s="52" t="s">
        <v>137</v>
      </c>
      <c r="E6" s="52" t="s">
        <v>138</v>
      </c>
      <c r="F6" s="52" t="s">
        <v>139</v>
      </c>
    </row>
    <row r="7" customFormat="false" ht="21.75" hidden="false" customHeight="true" outlineLevel="0" collapsed="false">
      <c r="A7" s="63" t="s">
        <v>140</v>
      </c>
      <c r="B7" s="65"/>
      <c r="C7" s="63" t="s">
        <v>141</v>
      </c>
      <c r="D7" s="63" t="s">
        <v>142</v>
      </c>
      <c r="E7" s="63" t="s">
        <v>143</v>
      </c>
      <c r="F7" s="65"/>
    </row>
    <row r="8" customFormat="false" ht="21.75" hidden="false" customHeight="true" outlineLevel="0" collapsed="false">
      <c r="A8" s="61" t="s">
        <v>144</v>
      </c>
      <c r="B8" s="66"/>
      <c r="C8" s="61" t="s">
        <v>145</v>
      </c>
      <c r="D8" s="61" t="s">
        <v>142</v>
      </c>
      <c r="E8" s="61" t="s">
        <v>143</v>
      </c>
      <c r="F8" s="66"/>
    </row>
    <row r="9" customFormat="false" ht="21.75" hidden="false" customHeight="true" outlineLevel="0" collapsed="false">
      <c r="A9" s="63" t="s">
        <v>146</v>
      </c>
      <c r="B9" s="65"/>
      <c r="C9" s="63" t="s">
        <v>147</v>
      </c>
      <c r="D9" s="63" t="s">
        <v>142</v>
      </c>
      <c r="E9" s="63" t="s">
        <v>143</v>
      </c>
      <c r="F9" s="65"/>
    </row>
    <row r="10" customFormat="false" ht="21.75" hidden="false" customHeight="true" outlineLevel="0" collapsed="false">
      <c r="A10" s="61" t="s">
        <v>148</v>
      </c>
      <c r="B10" s="66"/>
      <c r="C10" s="61" t="s">
        <v>149</v>
      </c>
      <c r="D10" s="61" t="s">
        <v>142</v>
      </c>
      <c r="E10" s="61" t="s">
        <v>143</v>
      </c>
      <c r="F10" s="66"/>
    </row>
    <row r="12" customFormat="false" ht="27.75" hidden="false" customHeight="true" outlineLevel="0" collapsed="false">
      <c r="A12" s="4" t="s">
        <v>150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52" t="s">
        <v>134</v>
      </c>
      <c r="B13" s="52" t="s">
        <v>135</v>
      </c>
      <c r="C13" s="52" t="s">
        <v>136</v>
      </c>
      <c r="D13" s="52" t="s">
        <v>137</v>
      </c>
      <c r="E13" s="52" t="s">
        <v>138</v>
      </c>
      <c r="F13" s="52" t="s">
        <v>139</v>
      </c>
    </row>
    <row r="14" customFormat="false" ht="21.75" hidden="false" customHeight="true" outlineLevel="0" collapsed="false">
      <c r="A14" s="61" t="s">
        <v>151</v>
      </c>
      <c r="B14" s="66"/>
      <c r="C14" s="61" t="s">
        <v>152</v>
      </c>
      <c r="D14" s="61" t="s">
        <v>142</v>
      </c>
      <c r="E14" s="61" t="s">
        <v>143</v>
      </c>
      <c r="F14" s="66"/>
    </row>
    <row r="15" customFormat="false" ht="21.75" hidden="false" customHeight="true" outlineLevel="0" collapsed="false">
      <c r="A15" s="63" t="s">
        <v>153</v>
      </c>
      <c r="B15" s="65"/>
      <c r="C15" s="63" t="s">
        <v>154</v>
      </c>
      <c r="D15" s="63" t="s">
        <v>155</v>
      </c>
      <c r="E15" s="63" t="s">
        <v>143</v>
      </c>
      <c r="F15" s="65"/>
    </row>
    <row r="16" customFormat="false" ht="21.75" hidden="false" customHeight="true" outlineLevel="0" collapsed="false">
      <c r="A16" s="61" t="s">
        <v>156</v>
      </c>
      <c r="B16" s="66"/>
      <c r="C16" s="61" t="s">
        <v>149</v>
      </c>
      <c r="D16" s="61" t="s">
        <v>142</v>
      </c>
      <c r="E16" s="61" t="s">
        <v>143</v>
      </c>
      <c r="F16" s="66"/>
    </row>
    <row r="17" customFormat="false" ht="21.75" hidden="false" customHeight="true" outlineLevel="0" collapsed="false">
      <c r="A17" s="63" t="s">
        <v>157</v>
      </c>
      <c r="B17" s="65"/>
      <c r="C17" s="63" t="s">
        <v>147</v>
      </c>
      <c r="D17" s="63" t="s">
        <v>155</v>
      </c>
      <c r="E17" s="63" t="s">
        <v>143</v>
      </c>
      <c r="F17" s="65"/>
    </row>
    <row r="19" customFormat="false" ht="27.75" hidden="false" customHeight="true" outlineLevel="0" collapsed="false">
      <c r="A19" s="4" t="s">
        <v>158</v>
      </c>
      <c r="B19" s="4"/>
      <c r="C19" s="4"/>
      <c r="D19" s="4"/>
      <c r="E19" s="4"/>
      <c r="F19" s="4"/>
    </row>
    <row r="20" customFormat="false" ht="15" hidden="false" customHeight="true" outlineLevel="0" collapsed="false">
      <c r="A20" s="52" t="s">
        <v>134</v>
      </c>
      <c r="B20" s="52" t="s">
        <v>135</v>
      </c>
      <c r="C20" s="52" t="s">
        <v>136</v>
      </c>
      <c r="D20" s="52" t="s">
        <v>137</v>
      </c>
      <c r="E20" s="52" t="s">
        <v>138</v>
      </c>
      <c r="F20" s="52" t="s">
        <v>139</v>
      </c>
    </row>
    <row r="21" customFormat="false" ht="21.75" hidden="false" customHeight="true" outlineLevel="0" collapsed="false">
      <c r="A21" s="63" t="s">
        <v>159</v>
      </c>
      <c r="B21" s="65"/>
      <c r="C21" s="63" t="s">
        <v>160</v>
      </c>
      <c r="D21" s="63" t="s">
        <v>142</v>
      </c>
      <c r="E21" s="63" t="s">
        <v>143</v>
      </c>
      <c r="F21" s="65"/>
    </row>
    <row r="22" customFormat="false" ht="21.75" hidden="false" customHeight="true" outlineLevel="0" collapsed="false">
      <c r="A22" s="61" t="s">
        <v>161</v>
      </c>
      <c r="B22" s="66"/>
      <c r="C22" s="61" t="s">
        <v>160</v>
      </c>
      <c r="D22" s="61" t="s">
        <v>142</v>
      </c>
      <c r="E22" s="61" t="s">
        <v>143</v>
      </c>
      <c r="F22" s="66"/>
    </row>
    <row r="23" customFormat="false" ht="21.75" hidden="false" customHeight="true" outlineLevel="0" collapsed="false">
      <c r="A23" s="63" t="s">
        <v>162</v>
      </c>
      <c r="B23" s="65"/>
      <c r="C23" s="63" t="s">
        <v>160</v>
      </c>
      <c r="D23" s="63" t="s">
        <v>142</v>
      </c>
      <c r="E23" s="63" t="s">
        <v>143</v>
      </c>
      <c r="F23" s="65"/>
    </row>
    <row r="24" customFormat="false" ht="21.75" hidden="false" customHeight="true" outlineLevel="0" collapsed="false">
      <c r="A24" s="61" t="s">
        <v>163</v>
      </c>
      <c r="B24" s="66"/>
      <c r="C24" s="61" t="s">
        <v>164</v>
      </c>
      <c r="D24" s="61" t="s">
        <v>155</v>
      </c>
      <c r="E24" s="61" t="s">
        <v>143</v>
      </c>
      <c r="F24" s="66"/>
    </row>
  </sheetData>
  <mergeCells count="4">
    <mergeCell ref="A1:F3"/>
    <mergeCell ref="A5:F5"/>
    <mergeCell ref="A12:F1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2"/>
  </cols>
  <sheetData>
    <row r="1" customFormat="false" ht="43.5" hidden="false" customHeight="true" outlineLevel="0" collapsed="false">
      <c r="A1" s="67" t="s">
        <v>165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customFormat="false" ht="15" hidden="false" customHeight="true" outlineLevel="0" collapsed="false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customFormat="false" ht="15" hidden="false" customHeight="true" outlineLevel="0" collapsed="false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5" customFormat="false" ht="24" hidden="false" customHeight="true" outlineLevel="0" collapsed="false">
      <c r="A5" s="68" t="s">
        <v>166</v>
      </c>
      <c r="B5" s="69" t="s">
        <v>167</v>
      </c>
      <c r="C5" s="69" t="s">
        <v>168</v>
      </c>
      <c r="D5" s="69" t="s">
        <v>169</v>
      </c>
      <c r="E5" s="69" t="s">
        <v>170</v>
      </c>
      <c r="F5" s="69" t="s">
        <v>171</v>
      </c>
      <c r="G5" s="69" t="s">
        <v>172</v>
      </c>
      <c r="H5" s="69" t="s">
        <v>173</v>
      </c>
      <c r="I5" s="69" t="s">
        <v>174</v>
      </c>
      <c r="J5" s="69" t="s">
        <v>175</v>
      </c>
      <c r="K5" s="69" t="s">
        <v>176</v>
      </c>
      <c r="L5" s="69" t="s">
        <v>177</v>
      </c>
      <c r="M5" s="69" t="s">
        <v>178</v>
      </c>
    </row>
    <row r="6" customFormat="false" ht="19.5" hidden="false" customHeight="true" outlineLevel="0" collapsed="false">
      <c r="A6" s="7" t="s">
        <v>179</v>
      </c>
      <c r="B6" s="70" t="n">
        <v>0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71" t="n">
        <v>0</v>
      </c>
    </row>
    <row r="7" customFormat="false" ht="19.5" hidden="false" customHeight="true" outlineLevel="0" collapsed="false">
      <c r="A7" s="5" t="s">
        <v>180</v>
      </c>
      <c r="B7" s="72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73" t="n">
        <v>0</v>
      </c>
    </row>
    <row r="8" customFormat="false" ht="19.5" hidden="false" customHeight="true" outlineLevel="0" collapsed="false">
      <c r="A8" s="74" t="s">
        <v>181</v>
      </c>
      <c r="B8" s="75" t="n">
        <f aca="false">IF(B6=0,0,B6-B7)</f>
        <v>0</v>
      </c>
      <c r="C8" s="76" t="n">
        <f aca="false">IF(C6=0,0,C6-C7)</f>
        <v>0</v>
      </c>
      <c r="D8" s="76" t="n">
        <f aca="false">IF(D6=0,0,D6-D7)</f>
        <v>0</v>
      </c>
      <c r="E8" s="76" t="n">
        <f aca="false">IF(E6=0,0,E6-E7)</f>
        <v>0</v>
      </c>
      <c r="F8" s="76" t="n">
        <f aca="false">IF(F6=0,0,F6-F7)</f>
        <v>0</v>
      </c>
      <c r="G8" s="76" t="n">
        <f aca="false">IF(G6=0,0,G6-G7)</f>
        <v>0</v>
      </c>
      <c r="H8" s="76" t="n">
        <f aca="false">IF(H6=0,0,H6-H7)</f>
        <v>0</v>
      </c>
      <c r="I8" s="76" t="n">
        <f aca="false">IF(I6=0,0,I6-I7)</f>
        <v>0</v>
      </c>
      <c r="J8" s="76" t="n">
        <f aca="false">IF(J6=0,0,J6-J7)</f>
        <v>0</v>
      </c>
      <c r="K8" s="76" t="n">
        <f aca="false">IF(K6=0,0,K6-K7)</f>
        <v>0</v>
      </c>
      <c r="L8" s="76" t="n">
        <f aca="false">IF(L6=0,0,L6-L7)</f>
        <v>0</v>
      </c>
      <c r="M8" s="77" t="n">
        <f aca="false">IF(M6=0,0,M6-M7)</f>
        <v>0</v>
      </c>
    </row>
    <row r="9" customFormat="false" ht="19.5" hidden="false" customHeight="true" outlineLevel="0" collapsed="false">
      <c r="A9" s="78" t="s">
        <v>182</v>
      </c>
      <c r="B9" s="79" t="n">
        <f aca="false">IF(B6=0,0,B8/B6)</f>
        <v>0</v>
      </c>
      <c r="C9" s="15" t="n">
        <f aca="false">IF(C6=0,0,C8/C6)</f>
        <v>0</v>
      </c>
      <c r="D9" s="15" t="n">
        <f aca="false">IF(D6=0,0,D8/D6)</f>
        <v>0</v>
      </c>
      <c r="E9" s="15" t="n">
        <f aca="false">IF(E6=0,0,E8/E6)</f>
        <v>0</v>
      </c>
      <c r="F9" s="15" t="n">
        <f aca="false">IF(F6=0,0,F8/F6)</f>
        <v>0</v>
      </c>
      <c r="G9" s="15" t="n">
        <f aca="false">IF(G6=0,0,G8/G6)</f>
        <v>0</v>
      </c>
      <c r="H9" s="15" t="n">
        <f aca="false">IF(H6=0,0,H8/H6)</f>
        <v>0</v>
      </c>
      <c r="I9" s="15" t="n">
        <f aca="false">IF(I6=0,0,I8/I6)</f>
        <v>0</v>
      </c>
      <c r="J9" s="15" t="n">
        <f aca="false">IF(J6=0,0,J8/J6)</f>
        <v>0</v>
      </c>
      <c r="K9" s="15" t="n">
        <f aca="false">IF(K6=0,0,K8/K6)</f>
        <v>0</v>
      </c>
      <c r="L9" s="15" t="n">
        <f aca="false">IF(L6=0,0,L8/L6)</f>
        <v>0</v>
      </c>
      <c r="M9" s="80" t="n">
        <f aca="false">IF(M6=0,0,M8/M6)</f>
        <v>0</v>
      </c>
    </row>
    <row r="10" customFormat="false" ht="19.5" hidden="false" customHeight="true" outlineLevel="0" collapsed="false">
      <c r="A10" s="7" t="s">
        <v>183</v>
      </c>
      <c r="B10" s="70" t="n">
        <v>0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71" t="n">
        <v>0</v>
      </c>
    </row>
    <row r="11" customFormat="false" ht="19.5" hidden="false" customHeight="true" outlineLevel="0" collapsed="false">
      <c r="A11" s="5" t="s">
        <v>184</v>
      </c>
      <c r="B11" s="72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73" t="n">
        <v>0</v>
      </c>
    </row>
    <row r="12" customFormat="false" ht="19.5" hidden="false" customHeight="true" outlineLevel="0" collapsed="false">
      <c r="A12" s="74" t="s">
        <v>185</v>
      </c>
      <c r="B12" s="75" t="n">
        <f aca="false">IF(B10=0,0,B10-B11)</f>
        <v>0</v>
      </c>
      <c r="C12" s="76" t="n">
        <f aca="false">IF(C10=0,0,C10-C11)</f>
        <v>0</v>
      </c>
      <c r="D12" s="76" t="n">
        <f aca="false">IF(D10=0,0,D10-D11)</f>
        <v>0</v>
      </c>
      <c r="E12" s="76" t="n">
        <f aca="false">IF(E10=0,0,E10-E11)</f>
        <v>0</v>
      </c>
      <c r="F12" s="76" t="n">
        <f aca="false">IF(F10=0,0,F10-F11)</f>
        <v>0</v>
      </c>
      <c r="G12" s="76" t="n">
        <f aca="false">IF(G10=0,0,G10-G11)</f>
        <v>0</v>
      </c>
      <c r="H12" s="76" t="n">
        <f aca="false">IF(H10=0,0,H10-H11)</f>
        <v>0</v>
      </c>
      <c r="I12" s="76" t="n">
        <f aca="false">IF(I10=0,0,I10-I11)</f>
        <v>0</v>
      </c>
      <c r="J12" s="76" t="n">
        <f aca="false">IF(J10=0,0,J10-J11)</f>
        <v>0</v>
      </c>
      <c r="K12" s="76" t="n">
        <f aca="false">IF(K10=0,0,K10-K11)</f>
        <v>0</v>
      </c>
      <c r="L12" s="76" t="n">
        <f aca="false">IF(L10=0,0,L10-L11)</f>
        <v>0</v>
      </c>
      <c r="M12" s="77" t="n">
        <f aca="false">IF(M10=0,0,M10-M11)</f>
        <v>0</v>
      </c>
    </row>
    <row r="13" customFormat="false" ht="19.5" hidden="false" customHeight="true" outlineLevel="0" collapsed="false">
      <c r="A13" s="5" t="s">
        <v>186</v>
      </c>
      <c r="B13" s="81" t="n">
        <v>0</v>
      </c>
      <c r="C13" s="31" t="n">
        <v>0</v>
      </c>
      <c r="D13" s="31" t="n">
        <v>0</v>
      </c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J13" s="31" t="n">
        <v>0</v>
      </c>
      <c r="K13" s="31" t="n">
        <v>0</v>
      </c>
      <c r="L13" s="31" t="n">
        <v>0</v>
      </c>
      <c r="M13" s="82" t="n">
        <v>0</v>
      </c>
    </row>
    <row r="15" customFormat="false" ht="36" hidden="false" customHeight="true" outlineLevel="0" collapsed="false">
      <c r="A15" s="83" t="s">
        <v>187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</row>
    <row r="16" customFormat="false" ht="15" hidden="false" customHeight="true" outlineLevel="0" collapsed="false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</sheetData>
  <mergeCells count="2">
    <mergeCell ref="A1:M3"/>
    <mergeCell ref="A15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2026-06-10T20:59:02Z</dcterms:created>
  <dc:creator>openpyxl</dc:creator>
  <dc:description/>
  <dc:language>en-US</dc:language>
  <cp:lastModifiedBy/>
  <dcterms:modified xsi:type="dcterms:W3CDTF">2026-06-10T20:59:23Z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